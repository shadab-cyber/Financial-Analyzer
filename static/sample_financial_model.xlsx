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A2B5EEA0-360F-4F4C-A1B7-71353EF7FA33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Balance Sheet &amp; P&amp;L" sheetId="6" r:id="rId1"/>
    <sheet name="Cash Flow Data" sheetId="7" r:id="rId2"/>
  </sheets>
  <definedNames>
    <definedName name="UPDATE">'Balance Sheet &amp; P&amp;L'!$E$1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6" i="6" l="1"/>
  <c r="E1" i="6"/>
</calcChain>
</file>

<file path=xl/sharedStrings.xml><?xml version="1.0" encoding="utf-8"?>
<sst xmlns="http://schemas.openxmlformats.org/spreadsheetml/2006/main" count="88" uniqueCount="75">
  <si>
    <t>COMPANY NAME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</si>
  <si>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</si>
  <si>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</si>
  <si>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</si>
  <si>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</si>
  <si>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</si>
  <si>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</si>
  <si>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</si>
  <si>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</si>
  <si>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</si>
  <si>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Equity Share Capital</t>
  </si>
  <si>
    <t>Reserves</t>
  </si>
  <si>
    <t>Total</t>
  </si>
  <si>
    <t>Net Block</t>
  </si>
  <si>
    <t>Capital Work in Progress</t>
  </si>
  <si>
    <t>Investments</t>
  </si>
  <si>
    <t>Face Value</t>
  </si>
  <si>
    <t>Cash from Operating Activity</t>
  </si>
  <si>
    <t>Cash from Investing Activity</t>
  </si>
  <si>
    <t>Cash from Financing Activity</t>
  </si>
  <si>
    <t>Net Cash Flow</t>
  </si>
  <si>
    <t>PLEASE DO NOT MAKE ANY CHANGES TO THIS SHEET</t>
  </si>
  <si>
    <t>PROFIT &amp; LOSS</t>
  </si>
  <si>
    <t>Report Date</t>
  </si>
  <si>
    <t>Quarters</t>
  </si>
  <si>
    <t>BALANCE SHEET</t>
  </si>
  <si>
    <t>CASH FLOW:</t>
  </si>
  <si>
    <t>Number of shares</t>
  </si>
  <si>
    <t>Current Price</t>
  </si>
  <si>
    <t>Inventory</t>
  </si>
  <si>
    <t>LATEST VERSION</t>
  </si>
  <si>
    <t>CURRENT VERSION</t>
  </si>
  <si>
    <t>PROTEAN EGOV TECHNOLOGIES LTD</t>
  </si>
  <si>
    <t>META</t>
  </si>
  <si>
    <t>Dividend Amount</t>
  </si>
  <si>
    <t>Borrowings</t>
  </si>
  <si>
    <t>Other Liabilities</t>
  </si>
  <si>
    <t>Other Assets</t>
  </si>
  <si>
    <t>No. of Equity Shares</t>
  </si>
  <si>
    <t>New Bonus Shares</t>
  </si>
  <si>
    <t>DERIVED:</t>
  </si>
  <si>
    <t>PRICE:</t>
  </si>
  <si>
    <t>Receivables</t>
  </si>
  <si>
    <t>Market Capitalization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</si>
  <si>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</si>
  <si>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</si>
  <si>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</si>
  <si>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</si>
  <si>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</si>
  <si>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</si>
  <si>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</si>
  <si>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Cash &amp; Bank</t>
  </si>
  <si>
    <t>Face value</t>
  </si>
  <si>
    <t>Adjusted Equity Shares in Cr</t>
  </si>
  <si>
    <t>Profit from operations</t>
  </si>
  <si>
    <t>Payables</t>
  </si>
  <si>
    <t>Other WC items</t>
  </si>
  <si>
    <t>Working capital changes</t>
  </si>
  <si>
    <t>Direct taxes</t>
  </si>
  <si>
    <t>Fixed assets purchased</t>
  </si>
  <si>
    <t>Fixed assets sold</t>
  </si>
  <si>
    <t>Investments purchased</t>
  </si>
  <si>
    <t>Investments sold</t>
  </si>
  <si>
    <t>Interest received</t>
  </si>
  <si>
    <t>Dividends received</t>
  </si>
  <si>
    <t>Other investing items</t>
  </si>
  <si>
    <t>Proceeds from shares</t>
  </si>
  <si>
    <t>Interest paid fin</t>
  </si>
  <si>
    <t>Dividends paid</t>
  </si>
  <si>
    <t>Financial liabilities</t>
  </si>
  <si>
    <t>Other financing items</t>
  </si>
  <si>
    <t>Years</t>
  </si>
  <si>
    <t>Cash From Operating Activity</t>
  </si>
  <si>
    <t>Cash From Investing Activity</t>
  </si>
  <si>
    <t>Cash From Financing Activity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</si>
</sst>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 * #,##0.00_ ;_ * \-#,##0.00_ ;_ * &quot;-&quot;??_ ;_ @_ "/>
    <numFmt numFmtId="165" formatCode="[$-409]mmm\-yy;@"/>
    <numFmt numFmtId="166" formatCode="[$-409]mmmmm\-yy;@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0275D8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2" borderId="0" applyNumberFormat="0" applyBorder="0" applyAlignment="0" applyProtection="0"/>
  </cellStyleXfs>
  <cellXfs count="11">
    <xf numFmtId="0" fontId="0" fillId="0" borderId="0" xfId="0"/>
    <xf numFmtId="164" fontId="1" fillId="0" borderId="0" xfId="1" applyFont="1" applyBorder="1"/>
    <xf numFmtId="164" fontId="0" fillId="0" borderId="0" xfId="1" applyFont="1" applyBorder="1"/>
    <xf numFmtId="164" fontId="3" fillId="0" borderId="0" xfId="1" applyFont="1" applyBorder="1"/>
    <xf numFmtId="165" fontId="2" fillId="3" borderId="0" xfId="0" applyNumberFormat="1" applyFont="1" applyFill="1" applyAlignment="1">
      <alignment horizontal="center"/>
    </xf>
    <xf numFmtId="165" fontId="2" fillId="3" borderId="0" xfId="1" applyNumberFormat="1" applyFont="1" applyFill="1" applyBorder="1"/>
    <xf numFmtId="165" fontId="6" fillId="0" borderId="0" xfId="1" applyNumberFormat="1" applyFont="1" applyFill="1" applyBorder="1"/>
    <xf numFmtId="43" fontId="0" fillId="0" borderId="0" xfId="1" applyNumberFormat="1" applyFont="1" applyBorder="1"/>
    <xf numFmtId="166" fontId="0" fillId="0" borderId="0" xfId="0" applyNumberFormat="1"/>
    <xf numFmtId="164" fontId="4" fillId="0" borderId="0" xfId="2" applyNumberFormat="1" applyBorder="1" applyAlignment="1" applyProtection="1">
      <alignment horizontal="center"/>
    </xf>
    <xf numFmtId="164" fontId="2" fillId="2" borderId="0" xfId="3" applyNumberFormat="1" applyFont="1" applyBorder="1" applyAlignment="1">
      <alignment horizontal="center"/>
    </xf>
  </cellXfs>
  <cellStyles count="4">
    <cellStyle name="Accent6" xfId="3" builtinId="49"/>
    <cellStyle name="Comma" xfId="1" builtinId="3"/>
    <cellStyle name="Hyperlink" xfId="2" builtinId="8"/>
    <cellStyle name="Normal" xfId="0" builtinId="0"/>
  </cellStyles>
  <dxfs count="1">
    <dxf>
      <font>
        <b/>
        <i val="0"/>
        <color theme="0"/>
      </font>
      <fill>
        <patternFill>
          <bgColor theme="5"/>
        </patternFill>
      </fill>
    </dxf>
  </dxfs>
  <tableStyles count="0" defaultTableStyle="TableStyleMedium9" defaultPivotStyle="PivotStyleLight16"/>
  <colors>
    <mruColors>
      <color rgb="FF0275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screener.in/exce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93"/>
  <sheetViews>
    <sheetView zoomScale="120" zoomScaleNormal="120" zoomScalePageLayoutView="120" workbookViewId="0">
      <pane xSplit="1" ySplit="1" topLeftCell="B84" activePane="bottomRight" state="frozen"/>
      <selection activeCell="C4" sqref="C4"/>
      <selection pane="topRight" activeCell="C4" sqref="C4"/>
      <selection pane="bottomLeft" activeCell="C4" sqref="C4"/>
      <selection pane="bottomRight" activeCell="B93" sqref="B93:H93"/>
    </sheetView>
  </sheetViews>
  <sheetFormatPr defaultColWidth="8.77734375" defaultRowHeight="14.4" x14ac:dyDescent="0.3"/>
  <cols>
    <col min="1" max="1" width="27.6640625" style="2" bestFit="1" customWidth="1"/>
    <col min="2" max="11" width="13.44140625" style="2" bestFit="1" customWidth="1"/>
    <col min="12" max="16384" width="8.77734375" style="2"/>
  </cols>
  <sheetData>
    <row r="1" spans="1:11" s="1" customFormat="1" x14ac:dyDescent="0.3">
      <c r="A1" s="1" t="s">
        <v>0</v>
      </c>
      <c r="B1" s="1" t="s">
        <v>32</v>
      </c>
      <c r="E1" s="9" t="str">
        <f>IF(B2&lt;&gt;B3, "A NEW VERSION OF THE WORKSHEET IS AVAILABLE", "")</f>
        <v/>
      </c>
      <c r="F1" s="9"/>
      <c r="G1" s="9"/>
      <c r="H1" s="9"/>
      <c r="I1" s="9"/>
      <c r="J1" s="9"/>
      <c r="K1" s="9"/>
    </row>
    <row r="2" spans="1:11" x14ac:dyDescent="0.3">
      <c r="A2" s="1" t="s">
        <v>30</v>
      </c>
      <c r="B2" s="2">
        <v>2.1</v>
      </c>
      <c r="E2" s="10" t="s">
        <v>21</v>
      </c>
      <c r="F2" s="10"/>
      <c r="G2" s="10"/>
      <c r="H2" s="10"/>
      <c r="I2" s="10"/>
      <c r="J2" s="10"/>
      <c r="K2" s="10"/>
    </row>
    <row r="3" spans="1:11" x14ac:dyDescent="0.3">
      <c r="A3" s="1" t="s">
        <v>31</v>
      </c>
      <c r="B3" s="2">
        <v>2.1</v>
      </c>
    </row>
    <row r="4" spans="1:11" x14ac:dyDescent="0.3">
      <c r="A4" s="1"/>
    </row>
    <row r="5" spans="1:11" x14ac:dyDescent="0.3">
      <c r="A5" s="1" t="s">
        <v>33</v>
      </c>
    </row>
    <row r="6" spans="1:11" x14ac:dyDescent="0.3">
      <c r="A6" s="2" t="s">
        <v>27</v>
      </c>
      <c r="B6" s="2">
        <f>IF(B9&gt;0, B9/B8, 0)</f>
        <v>4.059133431806992</v>
      </c>
    </row>
    <row r="7" spans="1:11" x14ac:dyDescent="0.3">
      <c r="A7" s="2" t="s">
        <v>16</v>
      </c>
      <c r="B7">
        <v>10</v>
      </c>
    </row>
    <row r="8" spans="1:11" x14ac:dyDescent="0.3">
      <c r="A8" s="2" t="s">
        <v>28</v>
      </c>
      <c r="B8">
        <v>609.29999999999995</v>
      </c>
    </row>
    <row r="9" spans="1:11" x14ac:dyDescent="0.3">
      <c r="A9" s="2" t="s">
        <v>43</v>
      </c>
      <c r="B9">
        <v>2473.23</v>
      </c>
    </row>
    <row r="15" spans="1:11" x14ac:dyDescent="0.3">
      <c r="A15" s="1" t="s">
        <v>22</v>
      </c>
    </row>
    <row r="16" spans="1:11" s="6" customFormat="1" x14ac:dyDescent="0.3">
      <c r="A16" s="5" t="s">
        <v>23</v>
      </c>
      <c r="B16" s="4">
        <v>43555</v>
      </c>
      <c r="C16" s="4">
        <v>43921</v>
      </c>
      <c r="D16" s="4">
        <v>44286</v>
      </c>
      <c r="E16" s="4">
        <v>44651</v>
      </c>
      <c r="F16" s="4">
        <v>45016</v>
      </c>
      <c r="G16" s="4">
        <v>45382</v>
      </c>
      <c r="H16" s="4">
        <v>45747</v>
      </c>
    </row>
    <row r="17" spans="1:8" s="3" customFormat="1" x14ac:dyDescent="0.3">
      <c r="A17" s="3" t="s">
        <v>1</v>
      </c>
      <c r="B17">
        <v>755.24</v>
      </c>
      <c r="C17">
        <v>716.13</v>
      </c>
      <c r="D17">
        <v>603.13</v>
      </c>
      <c r="E17">
        <v>690.91</v>
      </c>
      <c r="F17">
        <v>741.04</v>
      </c>
      <c r="G17">
        <v>881.59</v>
      </c>
      <c r="H17">
        <v>840.7</v>
      </c>
    </row>
    <row r="18" spans="1:8" s="3" customFormat="1" x14ac:dyDescent="0.3">
      <c r="A18" s="2" t="s">
        <v>44</v>
      </c>
    </row>
    <row r="19" spans="1:8" s="3" customFormat="1" x14ac:dyDescent="0.3">
      <c r="A19" s="2" t="s">
        <v>45</v>
      </c>
    </row>
    <row r="20" spans="1:8" s="3" customFormat="1" x14ac:dyDescent="0.3">
      <c r="A20" s="2" t="s">
        <v>46</v>
      </c>
      <c r="B20">
        <v>4.37</v>
      </c>
      <c r="C20">
        <v>3.72</v>
      </c>
      <c r="D20">
        <v>3.28</v>
      </c>
      <c r="E20">
        <v>2.66</v>
      </c>
      <c r="F20">
        <v>3.46</v>
      </c>
      <c r="G20">
        <v>3.73</v>
      </c>
      <c r="H20">
        <v>3.78</v>
      </c>
    </row>
    <row r="21" spans="1:8" s="3" customFormat="1" x14ac:dyDescent="0.3">
      <c r="A21" s="2" t="s">
        <v>47</v>
      </c>
      <c r="B21">
        <v>465.97</v>
      </c>
      <c r="C21">
        <v>443.81</v>
      </c>
      <c r="D21">
        <v>2.66</v>
      </c>
      <c r="E21">
        <v>406.71</v>
      </c>
      <c r="F21">
        <v>421.21</v>
      </c>
      <c r="G21">
        <v>492.61</v>
      </c>
      <c r="H21">
        <v>463.27</v>
      </c>
    </row>
    <row r="22" spans="1:8" s="3" customFormat="1" x14ac:dyDescent="0.3">
      <c r="A22" s="2" t="s">
        <v>48</v>
      </c>
      <c r="B22">
        <v>66.790000000000006</v>
      </c>
      <c r="C22">
        <v>70.14</v>
      </c>
      <c r="D22">
        <v>75.63</v>
      </c>
      <c r="E22">
        <v>80.78</v>
      </c>
      <c r="F22">
        <v>125.29</v>
      </c>
      <c r="G22">
        <v>178.13</v>
      </c>
      <c r="H22">
        <v>190.99</v>
      </c>
    </row>
    <row r="23" spans="1:8" s="3" customFormat="1" x14ac:dyDescent="0.3">
      <c r="A23" s="2" t="s">
        <v>49</v>
      </c>
      <c r="B23">
        <v>35.049999999999997</v>
      </c>
      <c r="C23">
        <v>33.32</v>
      </c>
      <c r="D23">
        <v>9.9499999999999993</v>
      </c>
      <c r="E23">
        <v>41.12</v>
      </c>
      <c r="F23">
        <v>51.01</v>
      </c>
      <c r="G23">
        <v>71.05</v>
      </c>
      <c r="H23">
        <v>89.76</v>
      </c>
    </row>
    <row r="24" spans="1:8" s="3" customFormat="1" x14ac:dyDescent="0.3">
      <c r="A24" s="2" t="s">
        <v>50</v>
      </c>
      <c r="B24">
        <v>5.87</v>
      </c>
      <c r="C24">
        <v>17.399999999999999</v>
      </c>
      <c r="D24">
        <v>426.66</v>
      </c>
      <c r="E24">
        <v>35.81</v>
      </c>
      <c r="F24">
        <v>22.1</v>
      </c>
      <c r="G24">
        <v>46.63</v>
      </c>
      <c r="H24">
        <v>12.49</v>
      </c>
    </row>
    <row r="25" spans="1:8" s="3" customFormat="1" x14ac:dyDescent="0.3">
      <c r="A25" s="3" t="s">
        <v>4</v>
      </c>
      <c r="B25">
        <v>33.090000000000003</v>
      </c>
      <c r="C25">
        <v>38.479999999999997</v>
      </c>
      <c r="D25">
        <v>48.91</v>
      </c>
      <c r="E25">
        <v>79.27</v>
      </c>
      <c r="F25">
        <v>41.66</v>
      </c>
      <c r="G25">
        <v>67.569999999999993</v>
      </c>
      <c r="H25">
        <v>68.180000000000007</v>
      </c>
    </row>
    <row r="26" spans="1:8" s="3" customFormat="1" x14ac:dyDescent="0.3">
      <c r="A26" s="3" t="s">
        <v>5</v>
      </c>
      <c r="B26">
        <v>27.6</v>
      </c>
      <c r="C26">
        <v>27.46</v>
      </c>
      <c r="D26">
        <v>17.28</v>
      </c>
      <c r="E26">
        <v>17</v>
      </c>
      <c r="F26">
        <v>18.28</v>
      </c>
      <c r="G26">
        <v>27.48</v>
      </c>
      <c r="H26">
        <v>27.82</v>
      </c>
    </row>
    <row r="27" spans="1:8" s="3" customFormat="1" x14ac:dyDescent="0.3">
      <c r="A27" s="3" t="s">
        <v>6</v>
      </c>
      <c r="B27">
        <v>2.19</v>
      </c>
      <c r="C27">
        <v>1.62</v>
      </c>
      <c r="D27">
        <v>0.94</v>
      </c>
      <c r="E27">
        <v>0.48</v>
      </c>
      <c r="F27">
        <v>0.93</v>
      </c>
      <c r="G27">
        <v>1.67</v>
      </c>
      <c r="H27">
        <v>2.34</v>
      </c>
    </row>
    <row r="28" spans="1:8" s="3" customFormat="1" x14ac:dyDescent="0.3">
      <c r="A28" s="3" t="s">
        <v>7</v>
      </c>
      <c r="B28">
        <v>180.49</v>
      </c>
      <c r="C28">
        <v>157.13999999999999</v>
      </c>
      <c r="D28">
        <v>115.64</v>
      </c>
      <c r="E28">
        <v>185.62</v>
      </c>
      <c r="F28">
        <v>140.41999999999999</v>
      </c>
      <c r="G28">
        <v>127.86</v>
      </c>
      <c r="H28">
        <v>118.43</v>
      </c>
    </row>
    <row r="29" spans="1:8" s="3" customFormat="1" x14ac:dyDescent="0.3">
      <c r="A29" s="3" t="s">
        <v>8</v>
      </c>
      <c r="B29">
        <v>56.97</v>
      </c>
      <c r="C29">
        <v>35.96</v>
      </c>
      <c r="D29">
        <v>23.35</v>
      </c>
      <c r="E29">
        <v>41.69</v>
      </c>
      <c r="F29">
        <v>33.380000000000003</v>
      </c>
      <c r="G29">
        <v>30.57</v>
      </c>
      <c r="H29">
        <v>25.97</v>
      </c>
    </row>
    <row r="30" spans="1:8" s="3" customFormat="1" x14ac:dyDescent="0.3">
      <c r="A30" s="3" t="s">
        <v>9</v>
      </c>
      <c r="B30">
        <v>123.6</v>
      </c>
      <c r="C30">
        <v>121.25</v>
      </c>
      <c r="D30">
        <v>92.3</v>
      </c>
      <c r="E30">
        <v>143.94</v>
      </c>
      <c r="F30">
        <v>107.04</v>
      </c>
      <c r="G30">
        <v>97.29</v>
      </c>
      <c r="H30">
        <v>92.46</v>
      </c>
    </row>
    <row r="31" spans="1:8" s="3" customFormat="1" x14ac:dyDescent="0.3">
      <c r="A31" s="3" t="s">
        <v>34</v>
      </c>
      <c r="E31">
        <v>181.71</v>
      </c>
      <c r="F31">
        <v>40.42</v>
      </c>
      <c r="G31">
        <v>40.450000000000003</v>
      </c>
      <c r="H31">
        <v>40.549999999999997</v>
      </c>
    </row>
    <row r="32" spans="1:8" s="3" customFormat="1" x14ac:dyDescent="0.3"/>
    <row r="33" spans="1:11" x14ac:dyDescent="0.3">
      <c r="A33" s="3"/>
    </row>
    <row r="34" spans="1:11" x14ac:dyDescent="0.3">
      <c r="A34" s="3"/>
    </row>
    <row r="35" spans="1:11" x14ac:dyDescent="0.3">
      <c r="A35" s="3"/>
    </row>
    <row r="36" spans="1:11" x14ac:dyDescent="0.3">
      <c r="A36" s="3"/>
    </row>
    <row r="37" spans="1:11" x14ac:dyDescent="0.3">
      <c r="A37" s="3"/>
    </row>
    <row r="38" spans="1:11" x14ac:dyDescent="0.3">
      <c r="A38" s="3"/>
    </row>
    <row r="39" spans="1:11" x14ac:dyDescent="0.3">
      <c r="A39" s="3"/>
    </row>
    <row r="40" spans="1:11" x14ac:dyDescent="0.3">
      <c r="A40" s="1" t="s">
        <v>24</v>
      </c>
    </row>
    <row r="41" spans="1:11" s="6" customFormat="1" x14ac:dyDescent="0.3">
      <c r="A41" s="5" t="s">
        <v>23</v>
      </c>
      <c r="B41" s="4">
        <v>45107</v>
      </c>
      <c r="C41" s="4">
        <v>45199</v>
      </c>
      <c r="D41" s="4">
        <v>45291</v>
      </c>
      <c r="E41" s="4">
        <v>45382</v>
      </c>
      <c r="F41" s="4">
        <v>45473</v>
      </c>
      <c r="G41" s="4">
        <v>45565</v>
      </c>
      <c r="H41" s="4">
        <v>45657</v>
      </c>
      <c r="I41" s="4">
        <v>45747</v>
      </c>
      <c r="J41" s="4">
        <v>45838</v>
      </c>
      <c r="K41" s="4">
        <v>45930</v>
      </c>
    </row>
    <row r="42" spans="1:11" s="3" customFormat="1" x14ac:dyDescent="0.3">
      <c r="A42" s="3" t="s">
        <v>1</v>
      </c>
      <c r="B42">
        <v>220.41</v>
      </c>
      <c r="C42">
        <v>235.69</v>
      </c>
      <c r="D42">
        <v>203.86</v>
      </c>
      <c r="E42">
        <v>222.08</v>
      </c>
      <c r="F42">
        <v>196.54</v>
      </c>
      <c r="G42">
        <v>219.7</v>
      </c>
      <c r="H42">
        <v>202.31</v>
      </c>
      <c r="I42">
        <v>222.15</v>
      </c>
      <c r="J42">
        <v>210.84</v>
      </c>
      <c r="K42">
        <v>250.5</v>
      </c>
    </row>
    <row r="43" spans="1:11" s="3" customFormat="1" x14ac:dyDescent="0.3">
      <c r="A43" s="3" t="s">
        <v>2</v>
      </c>
      <c r="B43">
        <v>186.31</v>
      </c>
      <c r="C43">
        <v>199.2</v>
      </c>
      <c r="D43">
        <v>206.94</v>
      </c>
      <c r="E43">
        <v>200.15</v>
      </c>
      <c r="F43">
        <v>181.43</v>
      </c>
      <c r="G43">
        <v>188.07</v>
      </c>
      <c r="H43">
        <v>186.53</v>
      </c>
      <c r="I43">
        <v>204.26</v>
      </c>
      <c r="J43">
        <v>194.43</v>
      </c>
      <c r="K43">
        <v>221.17</v>
      </c>
    </row>
    <row r="44" spans="1:11" s="3" customFormat="1" x14ac:dyDescent="0.3">
      <c r="A44" s="3" t="s">
        <v>4</v>
      </c>
      <c r="B44">
        <v>12.75</v>
      </c>
      <c r="C44">
        <v>12.68</v>
      </c>
      <c r="D44">
        <v>29.14</v>
      </c>
      <c r="E44">
        <v>13</v>
      </c>
      <c r="F44">
        <v>19.260000000000002</v>
      </c>
      <c r="G44">
        <v>13.57</v>
      </c>
      <c r="H44">
        <v>18.809999999999999</v>
      </c>
      <c r="I44">
        <v>16.54</v>
      </c>
      <c r="J44">
        <v>28.52</v>
      </c>
      <c r="K44">
        <v>14.6</v>
      </c>
    </row>
    <row r="45" spans="1:11" s="3" customFormat="1" x14ac:dyDescent="0.3">
      <c r="A45" s="3" t="s">
        <v>5</v>
      </c>
      <c r="B45">
        <v>4.91</v>
      </c>
      <c r="C45">
        <v>5.48</v>
      </c>
      <c r="D45">
        <v>6.19</v>
      </c>
      <c r="E45">
        <v>10.9</v>
      </c>
      <c r="F45">
        <v>6.77</v>
      </c>
      <c r="G45">
        <v>7.14</v>
      </c>
      <c r="H45">
        <v>5.81</v>
      </c>
      <c r="I45">
        <v>8.1</v>
      </c>
      <c r="J45">
        <v>11.04</v>
      </c>
      <c r="K45">
        <v>10.38</v>
      </c>
    </row>
    <row r="46" spans="1:11" s="3" customFormat="1" x14ac:dyDescent="0.3">
      <c r="A46" s="3" t="s">
        <v>6</v>
      </c>
      <c r="B46">
        <v>0.22</v>
      </c>
      <c r="C46">
        <v>0.41</v>
      </c>
      <c r="D46">
        <v>0.52</v>
      </c>
      <c r="E46">
        <v>0.52</v>
      </c>
      <c r="F46">
        <v>0.5</v>
      </c>
      <c r="G46">
        <v>0.49</v>
      </c>
      <c r="H46">
        <v>0.26</v>
      </c>
      <c r="I46">
        <v>1.0900000000000001</v>
      </c>
      <c r="J46">
        <v>1.52</v>
      </c>
      <c r="K46">
        <v>1.51</v>
      </c>
    </row>
    <row r="47" spans="1:11" s="3" customFormat="1" x14ac:dyDescent="0.3">
      <c r="A47" s="3" t="s">
        <v>7</v>
      </c>
      <c r="B47">
        <v>41.72</v>
      </c>
      <c r="C47">
        <v>43.28</v>
      </c>
      <c r="D47">
        <v>19.350000000000001</v>
      </c>
      <c r="E47">
        <v>23.51</v>
      </c>
      <c r="F47">
        <v>27.1</v>
      </c>
      <c r="G47">
        <v>37.57</v>
      </c>
      <c r="H47">
        <v>28.52</v>
      </c>
      <c r="I47">
        <v>25.24</v>
      </c>
      <c r="J47">
        <v>32.369999999999997</v>
      </c>
      <c r="K47">
        <v>32.04</v>
      </c>
    </row>
    <row r="48" spans="1:11" s="3" customFormat="1" x14ac:dyDescent="0.3">
      <c r="A48" s="3" t="s">
        <v>8</v>
      </c>
      <c r="B48">
        <v>9.51</v>
      </c>
      <c r="C48">
        <v>10.5</v>
      </c>
      <c r="D48">
        <v>4.12</v>
      </c>
      <c r="E48">
        <v>4.22</v>
      </c>
      <c r="F48">
        <v>6.01</v>
      </c>
      <c r="G48">
        <v>9.5299999999999994</v>
      </c>
      <c r="H48">
        <v>5.59</v>
      </c>
      <c r="I48">
        <v>4.84</v>
      </c>
      <c r="J48">
        <v>8.52</v>
      </c>
      <c r="K48">
        <v>8.18</v>
      </c>
    </row>
    <row r="49" spans="1:11" s="3" customFormat="1" x14ac:dyDescent="0.3">
      <c r="A49" s="3" t="s">
        <v>9</v>
      </c>
      <c r="B49">
        <v>32.21</v>
      </c>
      <c r="C49">
        <v>32.78</v>
      </c>
      <c r="D49">
        <v>15.23</v>
      </c>
      <c r="E49">
        <v>19.29</v>
      </c>
      <c r="F49">
        <v>21.09</v>
      </c>
      <c r="G49">
        <v>28.04</v>
      </c>
      <c r="H49">
        <v>22.93</v>
      </c>
      <c r="I49">
        <v>20.399999999999999</v>
      </c>
      <c r="J49">
        <v>23.85</v>
      </c>
      <c r="K49">
        <v>23.86</v>
      </c>
    </row>
    <row r="50" spans="1:11" x14ac:dyDescent="0.3">
      <c r="A50" s="3" t="s">
        <v>3</v>
      </c>
      <c r="B50">
        <v>34.1</v>
      </c>
      <c r="C50">
        <v>36.49</v>
      </c>
      <c r="D50">
        <v>-3.08</v>
      </c>
      <c r="E50">
        <v>21.93</v>
      </c>
      <c r="F50">
        <v>15.11</v>
      </c>
      <c r="G50">
        <v>31.63</v>
      </c>
      <c r="H50">
        <v>15.78</v>
      </c>
      <c r="I50">
        <v>17.89</v>
      </c>
      <c r="J50">
        <v>16.41</v>
      </c>
      <c r="K50">
        <v>29.33</v>
      </c>
    </row>
    <row r="51" spans="1:11" x14ac:dyDescent="0.3">
      <c r="A51" s="3"/>
    </row>
    <row r="52" spans="1:11" x14ac:dyDescent="0.3">
      <c r="A52" s="3"/>
    </row>
    <row r="53" spans="1:11" x14ac:dyDescent="0.3">
      <c r="A53" s="3"/>
    </row>
    <row r="54" spans="1:11" x14ac:dyDescent="0.3">
      <c r="A54" s="3"/>
    </row>
    <row r="55" spans="1:11" x14ac:dyDescent="0.3">
      <c r="A55" s="1" t="s">
        <v>25</v>
      </c>
    </row>
    <row r="56" spans="1:11" s="6" customFormat="1" x14ac:dyDescent="0.3">
      <c r="A56" s="5" t="s">
        <v>23</v>
      </c>
      <c r="B56" s="4">
        <v>43555</v>
      </c>
      <c r="C56" s="4">
        <v>43921</v>
      </c>
      <c r="D56" s="4">
        <v>44286</v>
      </c>
      <c r="E56" s="4">
        <v>44651</v>
      </c>
      <c r="F56" s="4">
        <v>45016</v>
      </c>
      <c r="G56" s="4">
        <v>45382</v>
      </c>
      <c r="H56" s="4">
        <v>45747</v>
      </c>
    </row>
    <row r="57" spans="1:11" x14ac:dyDescent="0.3">
      <c r="A57" s="3" t="s">
        <v>10</v>
      </c>
      <c r="B57">
        <v>40.01</v>
      </c>
      <c r="C57">
        <v>40.01</v>
      </c>
      <c r="D57">
        <v>40.14</v>
      </c>
      <c r="E57">
        <v>40.380000000000003</v>
      </c>
      <c r="F57">
        <v>40.42</v>
      </c>
      <c r="G57">
        <v>40.450000000000003</v>
      </c>
      <c r="H57">
        <v>40.549999999999997</v>
      </c>
    </row>
    <row r="58" spans="1:11" x14ac:dyDescent="0.3">
      <c r="A58" s="3" t="s">
        <v>11</v>
      </c>
      <c r="B58">
        <v>625.52</v>
      </c>
      <c r="C58">
        <v>713.68</v>
      </c>
      <c r="D58">
        <v>627.69000000000005</v>
      </c>
      <c r="E58">
        <v>747.81</v>
      </c>
      <c r="F58">
        <v>816.69</v>
      </c>
      <c r="G58">
        <v>885.73</v>
      </c>
      <c r="H58">
        <v>958.23</v>
      </c>
    </row>
    <row r="59" spans="1:11" x14ac:dyDescent="0.3">
      <c r="A59" s="3" t="s">
        <v>35</v>
      </c>
      <c r="B59">
        <v>20.34</v>
      </c>
      <c r="C59">
        <v>13.9</v>
      </c>
      <c r="E59">
        <v>11.68</v>
      </c>
      <c r="F59">
        <v>7.92</v>
      </c>
      <c r="G59">
        <v>20.79</v>
      </c>
      <c r="H59">
        <v>68.53</v>
      </c>
    </row>
    <row r="60" spans="1:11" x14ac:dyDescent="0.3">
      <c r="A60" s="3" t="s">
        <v>36</v>
      </c>
      <c r="B60">
        <v>183.74</v>
      </c>
      <c r="C60">
        <v>172.4</v>
      </c>
      <c r="D60">
        <v>194.74</v>
      </c>
      <c r="E60">
        <v>188.27</v>
      </c>
      <c r="F60">
        <v>239.07</v>
      </c>
      <c r="G60">
        <v>238.27</v>
      </c>
      <c r="H60">
        <v>239.25</v>
      </c>
    </row>
    <row r="61" spans="1:11" s="1" customFormat="1" x14ac:dyDescent="0.3">
      <c r="A61" s="1" t="s">
        <v>12</v>
      </c>
      <c r="B61">
        <v>869.61</v>
      </c>
      <c r="C61">
        <v>939.99</v>
      </c>
      <c r="D61">
        <v>862.57</v>
      </c>
      <c r="E61">
        <v>988.14</v>
      </c>
      <c r="F61">
        <v>1104.0999999999999</v>
      </c>
      <c r="G61">
        <v>1185.24</v>
      </c>
      <c r="H61">
        <v>1306.56</v>
      </c>
    </row>
    <row r="62" spans="1:11" x14ac:dyDescent="0.3">
      <c r="A62" s="3" t="s">
        <v>13</v>
      </c>
      <c r="B62">
        <v>156.53</v>
      </c>
      <c r="C62">
        <v>63.56</v>
      </c>
      <c r="D62">
        <v>50.71</v>
      </c>
      <c r="E62">
        <v>64.540000000000006</v>
      </c>
      <c r="F62">
        <v>63.31</v>
      </c>
      <c r="G62">
        <v>86.01</v>
      </c>
      <c r="H62">
        <v>152.9</v>
      </c>
    </row>
    <row r="63" spans="1:11" x14ac:dyDescent="0.3">
      <c r="A63" s="3" t="s">
        <v>14</v>
      </c>
      <c r="B63">
        <v>5.13</v>
      </c>
      <c r="C63">
        <v>5.43</v>
      </c>
      <c r="D63">
        <v>1.42</v>
      </c>
      <c r="E63">
        <v>4.49</v>
      </c>
      <c r="F63">
        <v>11.43</v>
      </c>
      <c r="G63">
        <v>13.1</v>
      </c>
      <c r="H63">
        <v>10.58</v>
      </c>
    </row>
    <row r="64" spans="1:11" x14ac:dyDescent="0.3">
      <c r="A64" s="3" t="s">
        <v>15</v>
      </c>
      <c r="B64">
        <v>372.51</v>
      </c>
      <c r="C64">
        <v>406.11</v>
      </c>
      <c r="D64">
        <v>285.12</v>
      </c>
      <c r="E64">
        <v>363.63</v>
      </c>
      <c r="F64">
        <v>528.53</v>
      </c>
      <c r="G64">
        <v>550.39</v>
      </c>
      <c r="H64">
        <v>660.71</v>
      </c>
    </row>
    <row r="65" spans="1:8" x14ac:dyDescent="0.3">
      <c r="A65" s="3" t="s">
        <v>37</v>
      </c>
      <c r="B65">
        <v>335.44</v>
      </c>
      <c r="C65">
        <v>464.89</v>
      </c>
      <c r="D65">
        <v>525.32000000000005</v>
      </c>
      <c r="E65">
        <v>555.48</v>
      </c>
      <c r="F65">
        <v>500.83</v>
      </c>
      <c r="G65">
        <v>535.74</v>
      </c>
      <c r="H65">
        <v>482.37</v>
      </c>
    </row>
    <row r="66" spans="1:8" s="1" customFormat="1" x14ac:dyDescent="0.3">
      <c r="A66" s="1" t="s">
        <v>12</v>
      </c>
      <c r="B66">
        <v>869.61</v>
      </c>
      <c r="C66">
        <v>939.99</v>
      </c>
      <c r="D66">
        <v>862.57</v>
      </c>
      <c r="E66">
        <v>988.14</v>
      </c>
      <c r="F66">
        <v>1104.0999999999999</v>
      </c>
      <c r="G66">
        <v>1185.24</v>
      </c>
      <c r="H66">
        <v>1306.56</v>
      </c>
    </row>
    <row r="67" spans="1:8" s="3" customFormat="1" x14ac:dyDescent="0.3">
      <c r="A67" s="3" t="s">
        <v>42</v>
      </c>
      <c r="B67">
        <v>181.88</v>
      </c>
      <c r="C67">
        <v>210.71</v>
      </c>
      <c r="D67">
        <v>197.74</v>
      </c>
      <c r="E67">
        <v>200.4</v>
      </c>
      <c r="F67">
        <v>208.86</v>
      </c>
      <c r="G67">
        <v>189.29</v>
      </c>
      <c r="H67">
        <v>144.07</v>
      </c>
    </row>
    <row r="68" spans="1:8" x14ac:dyDescent="0.3">
      <c r="A68" s="3" t="s">
        <v>29</v>
      </c>
    </row>
    <row r="69" spans="1:8" x14ac:dyDescent="0.3">
      <c r="A69" s="2" t="s">
        <v>51</v>
      </c>
      <c r="B69">
        <v>55.48</v>
      </c>
      <c r="C69">
        <v>50.11</v>
      </c>
      <c r="D69">
        <v>115.14</v>
      </c>
      <c r="E69">
        <v>233.5</v>
      </c>
      <c r="F69">
        <v>137.53</v>
      </c>
      <c r="G69">
        <v>150.76</v>
      </c>
      <c r="H69">
        <v>136.22</v>
      </c>
    </row>
    <row r="70" spans="1:8" x14ac:dyDescent="0.3">
      <c r="A70" s="2" t="s">
        <v>38</v>
      </c>
      <c r="B70">
        <v>40005300</v>
      </c>
      <c r="C70">
        <v>40007981</v>
      </c>
      <c r="D70">
        <v>40139462</v>
      </c>
      <c r="E70">
        <v>40384076</v>
      </c>
      <c r="F70">
        <v>40421394</v>
      </c>
      <c r="G70">
        <v>40446732</v>
      </c>
      <c r="H70">
        <v>40548239</v>
      </c>
    </row>
    <row r="71" spans="1:8" x14ac:dyDescent="0.3">
      <c r="A71" s="2" t="s">
        <v>39</v>
      </c>
    </row>
    <row r="72" spans="1:8" x14ac:dyDescent="0.3">
      <c r="A72" s="2" t="s">
        <v>52</v>
      </c>
      <c r="B72">
        <v>10</v>
      </c>
      <c r="C72">
        <v>10</v>
      </c>
      <c r="D72">
        <v>10</v>
      </c>
      <c r="E72">
        <v>10</v>
      </c>
      <c r="F72">
        <v>10</v>
      </c>
      <c r="G72">
        <v>10</v>
      </c>
      <c r="H72">
        <v>10</v>
      </c>
    </row>
    <row r="74" spans="1:8" x14ac:dyDescent="0.3">
      <c r="A74" s="3"/>
    </row>
    <row r="75" spans="1:8" x14ac:dyDescent="0.3">
      <c r="A75" s="3"/>
    </row>
    <row r="76" spans="1:8" x14ac:dyDescent="0.3">
      <c r="A76" s="3"/>
    </row>
    <row r="77" spans="1:8" x14ac:dyDescent="0.3">
      <c r="A77" s="3"/>
    </row>
    <row r="78" spans="1:8" x14ac:dyDescent="0.3">
      <c r="A78" s="3"/>
    </row>
    <row r="79" spans="1:8" x14ac:dyDescent="0.3">
      <c r="A79" s="3"/>
    </row>
    <row r="80" spans="1:8" x14ac:dyDescent="0.3">
      <c r="A80" s="1" t="s">
        <v>26</v>
      </c>
    </row>
    <row r="81" spans="1:11" s="6" customFormat="1" x14ac:dyDescent="0.3">
      <c r="A81" s="5" t="s">
        <v>23</v>
      </c>
      <c r="B81" s="4">
        <v>43555</v>
      </c>
      <c r="C81" s="4">
        <v>43921</v>
      </c>
      <c r="D81" s="4">
        <v>44286</v>
      </c>
      <c r="E81" s="4">
        <v>44651</v>
      </c>
      <c r="F81" s="4">
        <v>45016</v>
      </c>
      <c r="G81" s="4">
        <v>45382</v>
      </c>
      <c r="H81" s="4">
        <v>45747</v>
      </c>
    </row>
    <row r="82" spans="1:11" s="1" customFormat="1" x14ac:dyDescent="0.3">
      <c r="A82" s="3" t="s">
        <v>17</v>
      </c>
      <c r="B82">
        <v>135.94</v>
      </c>
      <c r="C82">
        <v>53.86</v>
      </c>
      <c r="D82">
        <v>100.21</v>
      </c>
      <c r="E82">
        <v>10.94</v>
      </c>
      <c r="F82">
        <v>136.99</v>
      </c>
      <c r="G82">
        <v>57.54</v>
      </c>
      <c r="H82">
        <v>192.71</v>
      </c>
    </row>
    <row r="83" spans="1:11" s="3" customFormat="1" x14ac:dyDescent="0.3">
      <c r="A83" s="3" t="s">
        <v>18</v>
      </c>
      <c r="B83">
        <v>-103.79</v>
      </c>
      <c r="C83">
        <v>-12.9</v>
      </c>
      <c r="D83">
        <v>157.21</v>
      </c>
      <c r="E83">
        <v>-139.04</v>
      </c>
      <c r="F83">
        <v>-282.27999999999997</v>
      </c>
      <c r="G83">
        <v>18.7</v>
      </c>
      <c r="H83">
        <v>-158.55000000000001</v>
      </c>
    </row>
    <row r="84" spans="1:11" s="3" customFormat="1" x14ac:dyDescent="0.3">
      <c r="A84" s="3" t="s">
        <v>19</v>
      </c>
      <c r="B84">
        <v>-39.21</v>
      </c>
      <c r="C84">
        <v>-39.31</v>
      </c>
      <c r="D84">
        <v>-183.32</v>
      </c>
      <c r="E84">
        <v>-1.19</v>
      </c>
      <c r="F84">
        <v>-44.29</v>
      </c>
      <c r="G84">
        <v>-47.45</v>
      </c>
      <c r="H84">
        <v>-42.24</v>
      </c>
    </row>
    <row r="85" spans="1:11" s="1" customFormat="1" x14ac:dyDescent="0.3">
      <c r="A85" s="3" t="s">
        <v>20</v>
      </c>
      <c r="B85">
        <v>-7.06</v>
      </c>
      <c r="C85">
        <v>1.65</v>
      </c>
      <c r="D85">
        <v>74.099999999999994</v>
      </c>
      <c r="E85">
        <v>-129.29</v>
      </c>
      <c r="F85">
        <v>-189.58</v>
      </c>
      <c r="G85">
        <v>28.79</v>
      </c>
      <c r="H85">
        <v>-8.08</v>
      </c>
    </row>
    <row r="86" spans="1:11" x14ac:dyDescent="0.3">
      <c r="A86" s="3"/>
    </row>
    <row r="87" spans="1:11" x14ac:dyDescent="0.3">
      <c r="A87" s="3"/>
    </row>
    <row r="88" spans="1:11" x14ac:dyDescent="0.3">
      <c r="A88" s="3"/>
    </row>
    <row r="89" spans="1:11" x14ac:dyDescent="0.3">
      <c r="A89" s="3"/>
    </row>
    <row r="90" spans="1:11" s="1" customFormat="1" x14ac:dyDescent="0.3">
      <c r="A90" s="1" t="s">
        <v>41</v>
      </c>
      <c r="J90">
        <v>1005.9</v>
      </c>
      <c r="K90">
        <v>1340.8</v>
      </c>
    </row>
    <row r="92" spans="1:11" s="1" customFormat="1" x14ac:dyDescent="0.3">
      <c r="A92" s="1" t="s">
        <v>40</v>
      </c>
    </row>
    <row r="93" spans="1:11" x14ac:dyDescent="0.3">
      <c r="A93" s="2" t="s">
        <v>53</v>
      </c>
      <c r="B93" s="7">
        <v>4</v>
      </c>
      <c r="C93" s="7">
        <v>4</v>
      </c>
      <c r="D93" s="7">
        <v>4.01</v>
      </c>
      <c r="E93" s="7">
        <v>4.03</v>
      </c>
      <c r="F93" s="7">
        <v>4.04</v>
      </c>
      <c r="G93" s="7">
        <v>4.04</v>
      </c>
      <c r="H93" s="7">
        <v>4.05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00000000-0004-0000-0500-000000000000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83414-8C8D-425A-AA98-D32186DD36D3}">
  <dimension ref="A1:H23"/>
  <sheetViews>
    <sheetView tabSelected="1" workbookViewId="0">
      <selection activeCell="A26" sqref="A26"/>
    </sheetView>
  </sheetViews>
  <sheetFormatPr defaultRowHeight="14.4" x14ac:dyDescent="0.3"/>
  <cols>
    <col min="1" max="1" width="26.33203125" customWidth="1"/>
    <col min="2" max="2" width="18.5546875" bestFit="1" customWidth="1"/>
    <col min="3" max="3" width="19.44140625" bestFit="1" customWidth="1"/>
    <col min="4" max="5" width="20.33203125" bestFit="1" customWidth="1"/>
    <col min="6" max="6" width="23.21875" bestFit="1" customWidth="1"/>
    <col min="7" max="7" width="18.5546875" bestFit="1" customWidth="1"/>
    <col min="8" max="8" width="20.77734375" bestFit="1" customWidth="1"/>
  </cols>
  <sheetData>
    <row r="1" spans="1:8" x14ac:dyDescent="0.3">
      <c r="A1" t="s">
        <v>71</v>
      </c>
      <c r="B1" s="8">
        <v>43525</v>
      </c>
      <c r="C1" s="8">
        <v>43891</v>
      </c>
      <c r="D1" s="8">
        <v>44256</v>
      </c>
      <c r="E1" s="8">
        <v>44621</v>
      </c>
      <c r="F1" s="8">
        <v>44986</v>
      </c>
      <c r="G1" s="8">
        <v>45352</v>
      </c>
      <c r="H1" s="8">
        <v>45717</v>
      </c>
    </row>
    <row r="2" spans="1:8" x14ac:dyDescent="0.3">
      <c r="A2" t="s">
        <v>72</v>
      </c>
      <c r="B2">
        <v>136</v>
      </c>
      <c r="C2">
        <v>54</v>
      </c>
      <c r="D2">
        <v>100</v>
      </c>
      <c r="E2">
        <v>11</v>
      </c>
      <c r="F2">
        <v>137</v>
      </c>
      <c r="G2">
        <v>58</v>
      </c>
      <c r="H2">
        <v>193</v>
      </c>
    </row>
    <row r="3" spans="1:8" x14ac:dyDescent="0.3">
      <c r="A3" t="s">
        <v>54</v>
      </c>
      <c r="B3">
        <v>190</v>
      </c>
      <c r="C3">
        <v>169</v>
      </c>
      <c r="D3">
        <v>131</v>
      </c>
      <c r="E3">
        <v>28</v>
      </c>
      <c r="F3">
        <v>143</v>
      </c>
      <c r="G3">
        <v>163</v>
      </c>
      <c r="H3">
        <v>101</v>
      </c>
    </row>
    <row r="4" spans="1:8" x14ac:dyDescent="0.3">
      <c r="A4" t="s">
        <v>42</v>
      </c>
      <c r="B4">
        <v>-17</v>
      </c>
      <c r="C4">
        <v>-39</v>
      </c>
      <c r="D4">
        <v>-16</v>
      </c>
      <c r="E4">
        <v>0</v>
      </c>
      <c r="F4">
        <v>-26</v>
      </c>
      <c r="G4">
        <v>-19</v>
      </c>
      <c r="H4">
        <v>55</v>
      </c>
    </row>
    <row r="5" spans="1:8" x14ac:dyDescent="0.3">
      <c r="A5" t="s">
        <v>55</v>
      </c>
      <c r="B5">
        <v>16</v>
      </c>
      <c r="C5">
        <v>-13</v>
      </c>
      <c r="D5">
        <v>10</v>
      </c>
      <c r="E5">
        <v>14</v>
      </c>
      <c r="F5">
        <v>36</v>
      </c>
      <c r="G5">
        <v>-12</v>
      </c>
      <c r="H5">
        <v>-17</v>
      </c>
    </row>
    <row r="6" spans="1:8" x14ac:dyDescent="0.3">
      <c r="A6" t="s">
        <v>56</v>
      </c>
      <c r="B6">
        <v>6</v>
      </c>
      <c r="C6">
        <v>-13</v>
      </c>
      <c r="D6">
        <v>8</v>
      </c>
      <c r="E6">
        <v>-20</v>
      </c>
      <c r="F6">
        <v>26</v>
      </c>
      <c r="G6">
        <v>-39</v>
      </c>
      <c r="H6">
        <v>79</v>
      </c>
    </row>
    <row r="7" spans="1:8" x14ac:dyDescent="0.3">
      <c r="A7" t="s">
        <v>57</v>
      </c>
      <c r="B7">
        <v>5</v>
      </c>
      <c r="C7">
        <v>-66</v>
      </c>
      <c r="D7">
        <v>1</v>
      </c>
      <c r="E7">
        <v>-6</v>
      </c>
      <c r="F7">
        <v>36</v>
      </c>
      <c r="G7">
        <v>-70</v>
      </c>
      <c r="H7">
        <v>117</v>
      </c>
    </row>
    <row r="8" spans="1:8" x14ac:dyDescent="0.3">
      <c r="A8" t="s">
        <v>58</v>
      </c>
      <c r="B8">
        <v>-59</v>
      </c>
      <c r="C8">
        <v>-50</v>
      </c>
      <c r="D8">
        <v>-32</v>
      </c>
      <c r="E8">
        <v>-11</v>
      </c>
      <c r="F8">
        <v>-43</v>
      </c>
      <c r="G8">
        <v>-35</v>
      </c>
      <c r="H8">
        <v>-25</v>
      </c>
    </row>
    <row r="9" spans="1:8" x14ac:dyDescent="0.3">
      <c r="A9" t="s">
        <v>73</v>
      </c>
      <c r="B9">
        <v>-104</v>
      </c>
      <c r="C9">
        <v>-13</v>
      </c>
      <c r="D9">
        <v>157</v>
      </c>
      <c r="E9">
        <v>-139</v>
      </c>
      <c r="F9">
        <v>-282</v>
      </c>
      <c r="G9">
        <v>19</v>
      </c>
      <c r="H9">
        <v>-159</v>
      </c>
    </row>
    <row r="10" spans="1:8" x14ac:dyDescent="0.3">
      <c r="A10" t="s">
        <v>59</v>
      </c>
      <c r="B10">
        <v>-27</v>
      </c>
      <c r="C10">
        <v>-12</v>
      </c>
      <c r="D10">
        <v>-9</v>
      </c>
      <c r="E10">
        <v>-6</v>
      </c>
      <c r="F10">
        <v>-24</v>
      </c>
      <c r="G10">
        <v>-32</v>
      </c>
      <c r="H10">
        <v>-48</v>
      </c>
    </row>
    <row r="11" spans="1:8" x14ac:dyDescent="0.3">
      <c r="A11" t="s">
        <v>60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3">
      <c r="A12" t="s">
        <v>61</v>
      </c>
      <c r="B12">
        <v>-146</v>
      </c>
      <c r="C12">
        <v>-61</v>
      </c>
      <c r="D12">
        <v>-40</v>
      </c>
      <c r="E12">
        <v>-145</v>
      </c>
      <c r="F12">
        <v>-222</v>
      </c>
      <c r="G12">
        <v>-55</v>
      </c>
      <c r="H12">
        <v>-402</v>
      </c>
    </row>
    <row r="13" spans="1:8" x14ac:dyDescent="0.3">
      <c r="A13" t="s">
        <v>62</v>
      </c>
      <c r="B13">
        <v>58</v>
      </c>
      <c r="C13">
        <v>26</v>
      </c>
      <c r="D13">
        <v>165</v>
      </c>
      <c r="E13">
        <v>1</v>
      </c>
      <c r="F13">
        <v>55</v>
      </c>
      <c r="G13">
        <v>45</v>
      </c>
      <c r="H13">
        <v>294</v>
      </c>
    </row>
    <row r="14" spans="1:8" x14ac:dyDescent="0.3">
      <c r="A14" t="s">
        <v>63</v>
      </c>
      <c r="B14">
        <v>22</v>
      </c>
      <c r="C14">
        <v>24</v>
      </c>
      <c r="D14">
        <v>32</v>
      </c>
      <c r="E14">
        <v>3</v>
      </c>
      <c r="F14">
        <v>33</v>
      </c>
      <c r="G14">
        <v>50</v>
      </c>
      <c r="H14">
        <v>51</v>
      </c>
    </row>
    <row r="15" spans="1:8" x14ac:dyDescent="0.3">
      <c r="A15" t="s">
        <v>64</v>
      </c>
      <c r="B15">
        <v>1</v>
      </c>
      <c r="C15">
        <v>2</v>
      </c>
      <c r="D15">
        <v>1</v>
      </c>
      <c r="E15">
        <v>0</v>
      </c>
      <c r="F15">
        <v>2</v>
      </c>
      <c r="G15">
        <v>0</v>
      </c>
      <c r="H15">
        <v>0</v>
      </c>
    </row>
    <row r="16" spans="1:8" x14ac:dyDescent="0.3">
      <c r="A16" t="s">
        <v>65</v>
      </c>
      <c r="B16">
        <v>-12</v>
      </c>
      <c r="C16">
        <v>9</v>
      </c>
      <c r="D16">
        <v>9</v>
      </c>
      <c r="E16">
        <v>9</v>
      </c>
      <c r="F16">
        <v>-126</v>
      </c>
      <c r="G16">
        <v>10</v>
      </c>
      <c r="H16">
        <v>-53</v>
      </c>
    </row>
    <row r="17" spans="1:8" x14ac:dyDescent="0.3">
      <c r="A17" t="s">
        <v>74</v>
      </c>
      <c r="B17">
        <v>-39</v>
      </c>
      <c r="C17">
        <v>-39</v>
      </c>
      <c r="D17">
        <v>-183</v>
      </c>
      <c r="E17">
        <v>-1</v>
      </c>
      <c r="F17">
        <v>-44</v>
      </c>
      <c r="G17">
        <v>-47</v>
      </c>
      <c r="H17">
        <v>-42</v>
      </c>
    </row>
    <row r="18" spans="1:8" x14ac:dyDescent="0.3">
      <c r="A18" t="s">
        <v>66</v>
      </c>
      <c r="B18">
        <v>0.16</v>
      </c>
      <c r="C18">
        <v>0.08</v>
      </c>
      <c r="D18">
        <v>4.07</v>
      </c>
      <c r="E18">
        <v>0</v>
      </c>
      <c r="F18">
        <v>0.78</v>
      </c>
      <c r="G18">
        <v>1.24</v>
      </c>
      <c r="H18">
        <v>5.71</v>
      </c>
    </row>
    <row r="19" spans="1:8" x14ac:dyDescent="0.3">
      <c r="A19" t="s">
        <v>67</v>
      </c>
      <c r="B19">
        <v>-2.19</v>
      </c>
      <c r="C19">
        <v>0</v>
      </c>
      <c r="D19">
        <v>0</v>
      </c>
      <c r="E19">
        <v>-0.27</v>
      </c>
      <c r="F19">
        <v>-0.93</v>
      </c>
      <c r="G19">
        <v>-1.67</v>
      </c>
      <c r="H19">
        <v>-2.34</v>
      </c>
    </row>
    <row r="20" spans="1:8" x14ac:dyDescent="0.3">
      <c r="A20" t="s">
        <v>68</v>
      </c>
      <c r="B20">
        <v>-26</v>
      </c>
      <c r="C20">
        <v>-26</v>
      </c>
      <c r="D20">
        <v>-180.47</v>
      </c>
      <c r="E20">
        <v>0</v>
      </c>
      <c r="F20">
        <v>-40.380000000000003</v>
      </c>
      <c r="G20">
        <v>-40.450000000000003</v>
      </c>
      <c r="H20">
        <v>-40.46</v>
      </c>
    </row>
    <row r="21" spans="1:8" x14ac:dyDescent="0.3">
      <c r="A21" t="s">
        <v>69</v>
      </c>
      <c r="B21">
        <v>-5.84</v>
      </c>
      <c r="C21">
        <v>-8.0399999999999991</v>
      </c>
      <c r="D21">
        <v>-6.92</v>
      </c>
      <c r="E21">
        <v>-0.92</v>
      </c>
      <c r="F21">
        <v>-3.76</v>
      </c>
      <c r="G21">
        <v>-6.57</v>
      </c>
      <c r="H21">
        <v>-5.15</v>
      </c>
    </row>
    <row r="22" spans="1:8" x14ac:dyDescent="0.3">
      <c r="A22" t="s">
        <v>70</v>
      </c>
      <c r="B22">
        <v>-5.35</v>
      </c>
      <c r="C22">
        <v>-5.35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 x14ac:dyDescent="0.3">
      <c r="A23" t="s">
        <v>20</v>
      </c>
      <c r="B23">
        <v>-7</v>
      </c>
      <c r="C23">
        <v>2</v>
      </c>
      <c r="D23">
        <v>74</v>
      </c>
      <c r="E23">
        <v>-129</v>
      </c>
      <c r="F23">
        <v>-190</v>
      </c>
      <c r="G23">
        <v>29</v>
      </c>
      <c r="H23">
        <v>-8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Balance Sheet &amp; P&amp;L</vt:lpstr>
      <vt:lpstr>Cash Flow Data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shadab cool</cp:lastModifiedBy>
  <cp:lastPrinted>2012-12-06T18:14:13Z</cp:lastPrinted>
  <dcterms:created xsi:type="dcterms:W3CDTF">2012-08-17T09:55:37Z</dcterms:created>
  <dcterms:modified xsi:type="dcterms:W3CDTF">2026-02-21T11:29:48Z</dcterms:modified>
</cp:coreProperties>
</file>